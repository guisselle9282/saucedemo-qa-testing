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b94296ed248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5df49da614804a28"/>
    <x:sheet xmlns:r="http://schemas.openxmlformats.org/officeDocument/2006/relationships" name="Summary" sheetId="2" r:id="R25cfc826156349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C00000"/>
      </x:patternFill>
    </x:fill>
    <x:fill>
      <x:patternFill patternType="solid">
        <x:fgColor rgb="FFA9D18E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horizontal="center" vertical="top"/>
    </x:xf>
    <x:xf numFmtId="0" fontId="1" fillId="4" borderId="0" xfId="0" applyNumberFormat="1" applyFont="1" applyFill="1" applyBorder="1" applyAlignment="1">
      <x:alignment horizontal="center" vertical="top"/>
    </x:xf>
    <x:xf numFmtId="0" fontId="3" fillId="0" borderId="0" xfId="0" applyNumberFormat="1" applyFont="1" applyFill="1" applyBorder="1" applyAlignment="1">
      <x:alignment vertical="top"/>
    </x:xf>
    <x:xf numFmtId="0" fontId="3" fillId="5" borderId="0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vertical="top"/>
    </x:xf>
  </x:cellXfs>
  <x:cellStyles count="1">
    <x:cellStyle name="Normal" xfId="0"/>
  </x:cellStyles>
  <x:dxfs count="3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684bb141ad4870" /><Relationship Type="http://schemas.openxmlformats.org/officeDocument/2006/relationships/theme" Target="/xl/theme/theme1.xml" Id="R6276f84f259d4ce9" /><Relationship Type="http://schemas.openxmlformats.org/officeDocument/2006/relationships/sharedStrings" Target="/xl/sharedStrings.xml" Id="R0f4f56b5cbb04489" /><Relationship Type="http://schemas.openxmlformats.org/officeDocument/2006/relationships/worksheet" Target="/xl/worksheets/sheet1.xml" Id="R5df49da614804a28" /><Relationship Type="http://schemas.openxmlformats.org/officeDocument/2006/relationships/worksheet" Target="/xl/worksheets/sheet2.xml" Id="R25cfc826156349f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8475ffc45324ee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Test Status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Value</c:v>
          </c:tx>
          <c:cat>
            <c:strRef>
              <c:f>'Summary'!$A$4:$A$7</c:f>
              <c:strCache>
                <c:ptCount val="0"/>
              </c:strCache>
            </c:strRef>
          </c:cat>
          <c:val>
            <c:numRef>
              <c:f>'Summary'!$B$4:$B$7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475ffc45324ee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stCasesTable" displayName="TestCasesTable" ref="A1:L29" headerRowCount="1" totalsRowCount="0" totalsRowShown="0">
  <x:tableColumns count="12">
    <x:tableColumn id="1" name="Test ID"/>
    <x:tableColumn id="2" name="Module"/>
    <x:tableColumn id="3" name="Test Case"/>
    <x:tableColumn id="4" name="Test Type"/>
    <x:tableColumn id="5" name="Technique"/>
    <x:tableColumn id="6" name="Preconditions"/>
    <x:tableColumn id="7" name="Test Data"/>
    <x:tableColumn id="8" name="Expected Result"/>
    <x:tableColumn id="9" name="Actual Result"/>
    <x:tableColumn id="10" name="Status"/>
    <x:tableColumn id="11" name="Bug ID"/>
    <x:tableColumn id="12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f8b42ae724444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ca8dc90775042c4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36" hidden="0" customWidth="1"/>
    <x:col min="4" max="4" width="15" hidden="0" customWidth="1"/>
    <x:col min="5" max="5" width="24" hidden="0" customWidth="1"/>
    <x:col min="6" max="6" width="32" hidden="0" customWidth="1"/>
    <x:col min="7" max="7" width="28" hidden="0" customWidth="1"/>
    <x:col min="8" max="8" width="38" hidden="0" customWidth="1"/>
    <x:col min="9" max="9" width="48" hidden="0" customWidth="1"/>
    <x:col min="10" max="10" width="14" hidden="0" customWidth="1"/>
    <x:col min="11" max="11" width="14" hidden="0" customWidth="1"/>
    <x:col min="12" max="12" width="28" hidden="0" customWidth="1"/>
  </x:cols>
  <x:sheetData>
    <x:row r="1">
      <x:c r="A1" s="6" t="str">
        <x:v>Test ID</x:v>
      </x:c>
      <x:c r="B1" s="6" t="str">
        <x:v>Module</x:v>
      </x:c>
      <x:c r="C1" s="6" t="str">
        <x:v>Test Case</x:v>
      </x:c>
      <x:c r="D1" s="6" t="str">
        <x:v>Test Type</x:v>
      </x:c>
      <x:c r="E1" s="6" t="str">
        <x:v>Technique</x:v>
      </x:c>
      <x:c r="F1" s="6" t="str">
        <x:v>Preconditions</x:v>
      </x:c>
      <x:c r="G1" s="6" t="str">
        <x:v>Test Data</x:v>
      </x:c>
      <x:c r="H1" s="6" t="str">
        <x:v>Expected Result</x:v>
      </x:c>
      <x:c r="I1" s="6" t="str">
        <x:v>Actual Result</x:v>
      </x:c>
      <x:c r="J1" s="6" t="str">
        <x:v>Status</x:v>
      </x:c>
      <x:c r="K1" s="6" t="str">
        <x:v>Bug ID</x:v>
      </x:c>
      <x:c r="L1" s="6" t="str">
        <x:v>Evidence</x:v>
      </x:c>
    </x:row>
    <x:row r="2">
      <x:c r="A2" s="13" t="str">
        <x:v>TC-LOGIN-01</x:v>
      </x:c>
      <x:c r="B2" s="13" t="str">
        <x:v>Login</x:v>
      </x:c>
      <x:c r="C2" s="13" t="str">
        <x:v>Login with valid credentials</x:v>
      </x:c>
      <x:c r="D2" s="13" t="str">
        <x:v>Positive</x:v>
      </x:c>
      <x:c r="E2" s="13" t="str">
        <x:v>Functional</x:v>
      </x:c>
      <x:c r="F2" s="13" t="str">
        <x:v>User is on SauceDemo login page</x:v>
      </x:c>
      <x:c r="G2" s="13" t="str">
        <x:v>standard_user / secret_sauce</x:v>
      </x:c>
      <x:c r="H2" s="13" t="str">
        <x:v>User logs in successfully and reaches Products</x:v>
      </x:c>
      <x:c r="I2" s="13" t="str">
        <x:v>User logged in successfully and reached Products</x:v>
      </x:c>
      <x:c r="J2" s="13" t="str">
        <x:v>PASS</x:v>
      </x:c>
      <x:c r="K2" s="13" t="str"/>
      <x:c r="L2" s="13" t="str"/>
    </x:row>
    <x:row r="3">
      <x:c r="A3" s="13" t="str">
        <x:v>TC-LOGIN-02</x:v>
      </x:c>
      <x:c r="B3" s="13" t="str">
        <x:v>Login</x:v>
      </x:c>
      <x:c r="C3" s="13" t="str">
        <x:v>Login with invalid password</x:v>
      </x:c>
      <x:c r="D3" s="13" t="str">
        <x:v>Negative</x:v>
      </x:c>
      <x:c r="E3" s="13" t="str">
        <x:v>Functional</x:v>
      </x:c>
      <x:c r="F3" s="13" t="str">
        <x:v>User is on login page</x:v>
      </x:c>
      <x:c r="G3" s="13" t="str">
        <x:v>standard_user / wrongpassword</x:v>
      </x:c>
      <x:c r="H3" s="13" t="str">
        <x:v>Login is blocked and an authentication error is displayed</x:v>
      </x:c>
      <x:c r="I3" s="13" t="str">
        <x:v>Login blocked. Message: "Epic sadface: Username and password do not match any user in this service."</x:v>
      </x:c>
      <x:c r="J3" s="13" t="str">
        <x:v>PASS</x:v>
      </x:c>
      <x:c r="K3" s="13" t="str"/>
      <x:c r="L3" s="13" t="str"/>
    </x:row>
    <x:row r="4">
      <x:c r="A4" s="13" t="str">
        <x:v>TC-LOGIN-03</x:v>
      </x:c>
      <x:c r="B4" s="13" t="str">
        <x:v>Login</x:v>
      </x:c>
      <x:c r="C4" s="13" t="str">
        <x:v>Login with empty username</x:v>
      </x:c>
      <x:c r="D4" s="13" t="str">
        <x:v>Negative</x:v>
      </x:c>
      <x:c r="E4" s="13" t="str">
        <x:v>Equivalence Partitioning</x:v>
      </x:c>
      <x:c r="F4" s="13" t="str">
        <x:v>User is on login page</x:v>
      </x:c>
      <x:c r="G4" s="13" t="str">
        <x:v>Username: blank / Password: secret_sauce</x:v>
      </x:c>
      <x:c r="H4" s="13" t="str">
        <x:v>Login is blocked and username-required message is displayed</x:v>
      </x:c>
      <x:c r="I4" s="13" t="str">
        <x:v>Login blocked. Message: "Epic sadface: Username is required."</x:v>
      </x:c>
      <x:c r="J4" s="13" t="str">
        <x:v>PASS</x:v>
      </x:c>
      <x:c r="K4" s="13" t="str"/>
      <x:c r="L4" s="13" t="str"/>
    </x:row>
    <x:row r="5">
      <x:c r="A5" s="13" t="str">
        <x:v>TC-LOGIN-04</x:v>
      </x:c>
      <x:c r="B5" s="13" t="str">
        <x:v>Login</x:v>
      </x:c>
      <x:c r="C5" s="13" t="str">
        <x:v>Login with empty password</x:v>
      </x:c>
      <x:c r="D5" s="13" t="str">
        <x:v>Negative</x:v>
      </x:c>
      <x:c r="E5" s="13" t="str">
        <x:v>Equivalence Partitioning</x:v>
      </x:c>
      <x:c r="F5" s="13" t="str">
        <x:v>User is on login page</x:v>
      </x:c>
      <x:c r="G5" s="13" t="str">
        <x:v>Username: standard_user / Password: blank</x:v>
      </x:c>
      <x:c r="H5" s="13" t="str">
        <x:v>Login is blocked and password-required message is displayed</x:v>
      </x:c>
      <x:c r="I5" s="13" t="str">
        <x:v>Login blocked. Message: "Epic sadface: Password is required."</x:v>
      </x:c>
      <x:c r="J5" s="13" t="str">
        <x:v>PASS</x:v>
      </x:c>
      <x:c r="K5" s="13" t="str"/>
      <x:c r="L5" s="13" t="str"/>
    </x:row>
    <x:row r="6">
      <x:c r="A6" s="13" t="str">
        <x:v>TC-LOGIN-05</x:v>
      </x:c>
      <x:c r="B6" s="13" t="str">
        <x:v>Login</x:v>
      </x:c>
      <x:c r="C6" s="13" t="str">
        <x:v>Login with locked-out user</x:v>
      </x:c>
      <x:c r="D6" s="13" t="str">
        <x:v>Negative</x:v>
      </x:c>
      <x:c r="E6" s="13" t="str">
        <x:v>Functional</x:v>
      </x:c>
      <x:c r="F6" s="13" t="str">
        <x:v>User is on login page</x:v>
      </x:c>
      <x:c r="G6" s="13" t="str">
        <x:v>locked_out_user / secret_sauce</x:v>
      </x:c>
      <x:c r="H6" s="13" t="str">
        <x:v>Login is blocked and locked-out message is displayed</x:v>
      </x:c>
      <x:c r="I6" s="13" t="str">
        <x:v>Login blocked. Message: "Epic sadface: Sorry, this user has been locked out."</x:v>
      </x:c>
      <x:c r="J6" s="13" t="str">
        <x:v>PASS</x:v>
      </x:c>
      <x:c r="K6" s="13" t="str"/>
      <x:c r="L6" s="13" t="str"/>
    </x:row>
    <x:row r="7">
      <x:c r="A7" s="13" t="str">
        <x:v>TC-PROD-01</x:v>
      </x:c>
      <x:c r="B7" s="13" t="str">
        <x:v>Products</x:v>
      </x:c>
      <x:c r="C7" s="13" t="str">
        <x:v>Verify product catalog display</x:v>
      </x:c>
      <x:c r="D7" s="13" t="str">
        <x:v>Positive</x:v>
      </x:c>
      <x:c r="E7" s="13" t="str">
        <x:v>Functional</x:v>
      </x:c>
      <x:c r="F7" s="13" t="str">
        <x:v>User is logged in as standard_user</x:v>
      </x:c>
      <x:c r="G7" s="13" t="str">
        <x:v>Standard product catalog</x:v>
      </x:c>
      <x:c r="H7" s="13" t="str">
        <x:v>Products display with name, image, description, price and Add to Cart control</x:v>
      </x:c>
      <x:c r="I7" s="13" t="str">
        <x:v>Six products displayed; each had name, image, description, price and Add to Cart</x:v>
      </x:c>
      <x:c r="J7" s="13" t="str">
        <x:v>PASS</x:v>
      </x:c>
      <x:c r="K7" s="13" t="str"/>
      <x:c r="L7" s="13" t="str"/>
    </x:row>
    <x:row r="8">
      <x:c r="A8" s="13" t="str">
        <x:v>TC-PROD-02</x:v>
      </x:c>
      <x:c r="B8" s="13" t="str">
        <x:v>Products</x:v>
      </x:c>
      <x:c r="C8" s="13" t="str">
        <x:v>Sort products by Name (Z to A)</x:v>
      </x:c>
      <x:c r="D8" s="13" t="str">
        <x:v>Positive</x:v>
      </x:c>
      <x:c r="E8" s="13" t="str">
        <x:v>Functional</x:v>
      </x:c>
      <x:c r="F8" s="13" t="str">
        <x:v>User is on Products page</x:v>
      </x:c>
      <x:c r="G8" s="13" t="str">
        <x:v>Sort: Name (Z to A)</x:v>
      </x:c>
      <x:c r="H8" s="13" t="str">
        <x:v>Product order changes to descending alphabetical order</x:v>
      </x:c>
      <x:c r="I8" s="13" t="str">
        <x:v>Order changed. First: "Test.allTheThings() T-Shirt (Red)"; Last: "Sauce Labs Backpack"</x:v>
      </x:c>
      <x:c r="J8" s="13" t="str">
        <x:v>PASS</x:v>
      </x:c>
      <x:c r="K8" s="13" t="str"/>
      <x:c r="L8" s="13" t="str"/>
    </x:row>
    <x:row r="9">
      <x:c r="A9" s="13" t="str">
        <x:v>TC-PROD-03</x:v>
      </x:c>
      <x:c r="B9" s="13" t="str">
        <x:v>Products</x:v>
      </x:c>
      <x:c r="C9" s="13" t="str">
        <x:v>Sort products by Price (low to high)</x:v>
      </x:c>
      <x:c r="D9" s="13" t="str">
        <x:v>Positive</x:v>
      </x:c>
      <x:c r="E9" s="13" t="str">
        <x:v>Functional</x:v>
      </x:c>
      <x:c r="F9" s="13" t="str">
        <x:v>User is on Products page</x:v>
      </x:c>
      <x:c r="G9" s="13" t="str">
        <x:v>Sort: Price (low to high)</x:v>
      </x:c>
      <x:c r="H9" s="13" t="str">
        <x:v>Products are ordered from lowest to highest price</x:v>
      </x:c>
      <x:c r="I9" s="13" t="str">
        <x:v>Order changed; lowest price shown first: $7.99</x:v>
      </x:c>
      <x:c r="J9" s="13" t="str">
        <x:v>PASS</x:v>
      </x:c>
      <x:c r="K9" s="13" t="str"/>
      <x:c r="L9" s="13" t="str"/>
    </x:row>
    <x:row r="10">
      <x:c r="A10" s="13" t="str">
        <x:v>TC-PROD-04</x:v>
      </x:c>
      <x:c r="B10" s="13" t="str">
        <x:v>Products</x:v>
      </x:c>
      <x:c r="C10" s="13" t="str">
        <x:v>Sort products by Price (high to low)</x:v>
      </x:c>
      <x:c r="D10" s="13" t="str">
        <x:v>Positive</x:v>
      </x:c>
      <x:c r="E10" s="13" t="str">
        <x:v>Functional</x:v>
      </x:c>
      <x:c r="F10" s="13" t="str">
        <x:v>User is on Products page</x:v>
      </x:c>
      <x:c r="G10" s="13" t="str">
        <x:v>Sort: Price (high to low)</x:v>
      </x:c>
      <x:c r="H10" s="13" t="str">
        <x:v>Products are ordered from highest to lowest price</x:v>
      </x:c>
      <x:c r="I10" s="13" t="str">
        <x:v>Order changed; highest price shown first: $49.99</x:v>
      </x:c>
      <x:c r="J10" s="13" t="str">
        <x:v>PASS</x:v>
      </x:c>
      <x:c r="K10" s="13" t="str"/>
      <x:c r="L10" s="13" t="str"/>
    </x:row>
    <x:row r="11">
      <x:c r="A11" s="13" t="str">
        <x:v>TC-PROD-05</x:v>
      </x:c>
      <x:c r="B11" s="13" t="str">
        <x:v>Products</x:v>
      </x:c>
      <x:c r="C11" s="13" t="str">
        <x:v>Open product details</x:v>
      </x:c>
      <x:c r="D11" s="13" t="str">
        <x:v>Positive</x:v>
      </x:c>
      <x:c r="E11" s="13" t="str">
        <x:v>Functional</x:v>
      </x:c>
      <x:c r="F11" s="13" t="str">
        <x:v>User is on Products page</x:v>
      </x:c>
      <x:c r="G11" s="13" t="str">
        <x:v>Sauce Labs Backpack</x:v>
      </x:c>
      <x:c r="H11" s="13" t="str">
        <x:v>Details page displays name, image, description, price, Add to Cart and Back to Products</x:v>
      </x:c>
      <x:c r="I11" s="13" t="str">
        <x:v>All listed elements displayed; product details matched the catalog</x:v>
      </x:c>
      <x:c r="J11" s="13" t="str">
        <x:v>PASS</x:v>
      </x:c>
      <x:c r="K11" s="13" t="str"/>
      <x:c r="L11" s="13" t="str"/>
    </x:row>
    <x:row r="12">
      <x:c r="A12" s="13" t="str">
        <x:v>TC-CART-01</x:v>
      </x:c>
      <x:c r="B12" s="13" t="str">
        <x:v>Shopping Cart</x:v>
      </x:c>
      <x:c r="C12" s="13" t="str">
        <x:v>Add product to cart</x:v>
      </x:c>
      <x:c r="D12" s="13" t="str">
        <x:v>Positive</x:v>
      </x:c>
      <x:c r="E12" s="13" t="str">
        <x:v>Functional</x:v>
      </x:c>
      <x:c r="F12" s="13" t="str">
        <x:v>User is on Products page</x:v>
      </x:c>
      <x:c r="G12" s="13" t="str">
        <x:v>Sauce Labs Backpack</x:v>
      </x:c>
      <x:c r="H12" s="13" t="str">
        <x:v>Selected product is added and cart badge shows 1</x:v>
      </x:c>
      <x:c r="I12" s="13" t="str">
        <x:v>Sauce Labs Backpack added; cart badge showed 1</x:v>
      </x:c>
      <x:c r="J12" s="13" t="str">
        <x:v>PASS</x:v>
      </x:c>
      <x:c r="K12" s="13" t="str"/>
      <x:c r="L12" s="13" t="str"/>
    </x:row>
    <x:row r="13">
      <x:c r="A13" s="13" t="str">
        <x:v>TC-CART-02</x:v>
      </x:c>
      <x:c r="B13" s="13" t="str">
        <x:v>Shopping Cart</x:v>
      </x:c>
      <x:c r="C13" s="13" t="str">
        <x:v>Verify product information in cart</x:v>
      </x:c>
      <x:c r="D13" s="13" t="str">
        <x:v>Positive</x:v>
      </x:c>
      <x:c r="E13" s="13" t="str">
        <x:v>Functional</x:v>
      </x:c>
      <x:c r="F13" s="13" t="str">
        <x:v>Sauce Labs Backpack is in cart</x:v>
      </x:c>
      <x:c r="G13" s="13" t="str">
        <x:v>Sauce Labs Backpack</x:v>
      </x:c>
      <x:c r="H13" s="13" t="str">
        <x:v>Name, price and quantity match the product listing; Remove control is available</x:v>
      </x:c>
      <x:c r="I13" s="13" t="str">
        <x:v>Name, price and quantity matched; Remove button was present</x:v>
      </x:c>
      <x:c r="J13" s="13" t="str">
        <x:v>PASS</x:v>
      </x:c>
      <x:c r="K13" s="13" t="str"/>
      <x:c r="L13" s="13" t="str"/>
    </x:row>
    <x:row r="14">
      <x:c r="A14" s="13" t="str">
        <x:v>TC-CART-03</x:v>
      </x:c>
      <x:c r="B14" s="13" t="str">
        <x:v>Shopping Cart</x:v>
      </x:c>
      <x:c r="C14" s="13" t="str">
        <x:v>Remove product from cart</x:v>
      </x:c>
      <x:c r="D14" s="13" t="str">
        <x:v>Positive</x:v>
      </x:c>
      <x:c r="E14" s="13" t="str">
        <x:v>Functional</x:v>
      </x:c>
      <x:c r="F14" s="13" t="str">
        <x:v>Sauce Labs Backpack is in cart</x:v>
      </x:c>
      <x:c r="G14" s="13" t="str">
        <x:v>Remove</x:v>
      </x:c>
      <x:c r="H14" s="13" t="str">
        <x:v>Product is removed and cart becomes empty</x:v>
      </x:c>
      <x:c r="I14" s="13" t="str">
        <x:v>Product disappeared; cart badge disappeared; cart was empty; Continue Shopping and Checkout remained</x:v>
      </x:c>
      <x:c r="J14" s="13" t="str">
        <x:v>PASS</x:v>
      </x:c>
      <x:c r="K14" s="13" t="str"/>
      <x:c r="L14" s="13" t="str"/>
    </x:row>
    <x:row r="15">
      <x:c r="A15" s="13" t="str">
        <x:v>TC-CART-04</x:v>
      </x:c>
      <x:c r="B15" s="13" t="str">
        <x:v>Shopping Cart</x:v>
      </x:c>
      <x:c r="C15" s="13" t="str">
        <x:v>Continue Shopping and re-add product</x:v>
      </x:c>
      <x:c r="D15" s="13" t="str">
        <x:v>Positive</x:v>
      </x:c>
      <x:c r="E15" s="13" t="str">
        <x:v>Functional</x:v>
      </x:c>
      <x:c r="F15" s="13" t="str">
        <x:v>Cart is empty</x:v>
      </x:c>
      <x:c r="G15" s="13" t="str">
        <x:v>Sauce Labs Backpack</x:v>
      </x:c>
      <x:c r="H15" s="13" t="str">
        <x:v>Continue Shopping returns to Products; product can be added again</x:v>
      </x:c>
      <x:c r="I15" s="13" t="str">
        <x:v>Returned to Products; product added again; cart badge 1; product visible in Cart</x:v>
      </x:c>
      <x:c r="J15" s="13" t="str">
        <x:v>PASS</x:v>
      </x:c>
      <x:c r="K15" s="13" t="str"/>
      <x:c r="L15" s="13" t="str"/>
    </x:row>
    <x:row r="16">
      <x:c r="A16" s="13" t="str">
        <x:v>TC-CART-05</x:v>
      </x:c>
      <x:c r="B16" s="13" t="str">
        <x:v>Shopping Cart</x:v>
      </x:c>
      <x:c r="C16" s="13" t="str">
        <x:v>Attempt to add the same product twice</x:v>
      </x:c>
      <x:c r="D16" s="13" t="str">
        <x:v>Negative</x:v>
      </x:c>
      <x:c r="E16" s="13" t="str">
        <x:v>Exploratory</x:v>
      </x:c>
      <x:c r="F16" s="13" t="str">
        <x:v>User is on Products page</x:v>
      </x:c>
      <x:c r="G16" s="13" t="str">
        <x:v>Sauce Labs Backpack x2</x:v>
      </x:c>
      <x:c r="H16" s="13" t="str">
        <x:v>If multiple quantities are supported, quantity should increase; otherwise behavior should remain consistent with the app design</x:v>
      </x:c>
      <x:c r="I16" s="13" t="str">
        <x:v>Second add did not create a second line item; existing product was retained. No defect classified without a requirement</x:v>
      </x:c>
      <x:c r="J16" s="13" t="str">
        <x:v>OBSERVATION</x:v>
      </x:c>
      <x:c r="K16" s="13" t="str"/>
      <x:c r="L16" s="13" t="str"/>
    </x:row>
    <x:row r="17">
      <x:c r="A17" s="13" t="str">
        <x:v>TC-CHECKOUT-01</x:v>
      </x:c>
      <x:c r="B17" s="13" t="str">
        <x:v>Checkout</x:v>
      </x:c>
      <x:c r="C17" s="13" t="str">
        <x:v>Checkout with valid information and review overview</x:v>
      </x:c>
      <x:c r="D17" s="13" t="str">
        <x:v>Positive</x:v>
      </x:c>
      <x:c r="E17" s="13" t="str">
        <x:v>Functional</x:v>
      </x:c>
      <x:c r="F17" s="13" t="str">
        <x:v>Sauce Labs Backpack is in cart</x:v>
      </x:c>
      <x:c r="G17" s="13" t="str">
        <x:v>Yahoska / Conrado / 12345</x:v>
      </x:c>
      <x:c r="H17" s="13" t="str">
        <x:v>Checkout: Overview displays product and correct order totals</x:v>
      </x:c>
      <x:c r="I17" s="13" t="str">
        <x:v>Overview opened; Backpack $29.99; Item total, Tax and Total displayed; Total $32.39</x:v>
      </x:c>
      <x:c r="J17" s="13" t="str">
        <x:v>PASS</x:v>
      </x:c>
      <x:c r="K17" s="13" t="str"/>
      <x:c r="L17" s="13" t="str"/>
    </x:row>
    <x:row r="18">
      <x:c r="A18" s="13" t="str">
        <x:v>TC-CHECKOUT-02</x:v>
      </x:c>
      <x:c r="B18" s="13" t="str">
        <x:v>Checkout</x:v>
      </x:c>
      <x:c r="C18" s="13" t="str">
        <x:v>Complete valid order</x:v>
      </x:c>
      <x:c r="D18" s="13" t="str">
        <x:v>Positive</x:v>
      </x:c>
      <x:c r="E18" s="13" t="str">
        <x:v>End-to-End</x:v>
      </x:c>
      <x:c r="F18" s="13" t="str">
        <x:v>Checkout: Overview with valid order</x:v>
      </x:c>
      <x:c r="G18" s="13" t="str">
        <x:v>Sauce Labs Backpack</x:v>
      </x:c>
      <x:c r="H18" s="13" t="str">
        <x:v>Order completes successfully and confirmation is displayed</x:v>
      </x:c>
      <x:c r="I18" s="13" t="str">
        <x:v>Order completed. "Thank you for your order!" displayed; dispatch message shown; Back Home and Generate PDF order available</x:v>
      </x:c>
      <x:c r="J18" s="13" t="str">
        <x:v>PASS</x:v>
      </x:c>
      <x:c r="K18" s="13" t="str"/>
      <x:c r="L18" s="13" t="str"/>
    </x:row>
    <x:row r="19">
      <x:c r="A19" s="13" t="str">
        <x:v>TC-CHECKOUT-03</x:v>
      </x:c>
      <x:c r="B19" s="13" t="str">
        <x:v>Checkout</x:v>
      </x:c>
      <x:c r="C19" s="13" t="str">
        <x:v>Required field validation - Last Name missing</x:v>
      </x:c>
      <x:c r="D19" s="13" t="str">
        <x:v>Negative</x:v>
      </x:c>
      <x:c r="E19" s="13" t="str">
        <x:v>Functional</x:v>
      </x:c>
      <x:c r="F19" s="13" t="str">
        <x:v>User is on Checkout: Your Information</x:v>
      </x:c>
      <x:c r="G19" s="13" t="str">
        <x:v>First: Yahoska / Last: blank / ZIP: 12345</x:v>
      </x:c>
      <x:c r="H19" s="13" t="str">
        <x:v>Checkout should not continue when a required field is blank</x:v>
      </x:c>
      <x:c r="I19" s="13" t="str">
        <x:v>Checkout did not continue</x:v>
      </x:c>
      <x:c r="J19" s="13" t="str">
        <x:v>PASS</x:v>
      </x:c>
      <x:c r="K19" s="13" t="str"/>
      <x:c r="L19" s="13" t="str"/>
    </x:row>
    <x:row r="20">
      <x:c r="A20" s="13" t="str">
        <x:v>TC-CHECKOUT-04</x:v>
      </x:c>
      <x:c r="B20" s="13" t="str">
        <x:v>Checkout</x:v>
      </x:c>
      <x:c r="C20" s="13" t="str">
        <x:v>Required field validation - First Name missing</x:v>
      </x:c>
      <x:c r="D20" s="13" t="str">
        <x:v>Negative</x:v>
      </x:c>
      <x:c r="E20" s="13" t="str">
        <x:v>Functional</x:v>
      </x:c>
      <x:c r="F20" s="13" t="str">
        <x:v>User is on Checkout: Your Information</x:v>
      </x:c>
      <x:c r="G20" s="13" t="str">
        <x:v>First: blank / Last: Conrado / ZIP: 12345</x:v>
      </x:c>
      <x:c r="H20" s="13" t="str">
        <x:v>Checkout should not continue when a required field is blank</x:v>
      </x:c>
      <x:c r="I20" s="13" t="str">
        <x:v>Checkout did not continue</x:v>
      </x:c>
      <x:c r="J20" s="13" t="str">
        <x:v>PASS</x:v>
      </x:c>
      <x:c r="K20" s="13" t="str"/>
      <x:c r="L20" s="13" t="str"/>
    </x:row>
    <x:row r="21">
      <x:c r="A21" s="13" t="str">
        <x:v>TC-CHECKOUT-05</x:v>
      </x:c>
      <x:c r="B21" s="13" t="str">
        <x:v>Checkout</x:v>
      </x:c>
      <x:c r="C21" s="13" t="str">
        <x:v>Required field validation - ZIP missing</x:v>
      </x:c>
      <x:c r="D21" s="13" t="str">
        <x:v>Negative</x:v>
      </x:c>
      <x:c r="E21" s="13" t="str">
        <x:v>Functional</x:v>
      </x:c>
      <x:c r="F21" s="13" t="str">
        <x:v>User is on Checkout: Your Information</x:v>
      </x:c>
      <x:c r="G21" s="13" t="str">
        <x:v>First: Yahoska / Last: Conrado / ZIP: blank</x:v>
      </x:c>
      <x:c r="H21" s="13" t="str">
        <x:v>Checkout should not continue when a required field is blank</x:v>
      </x:c>
      <x:c r="I21" s="13" t="str">
        <x:v>Checkout did not continue</x:v>
      </x:c>
      <x:c r="J21" s="13" t="str">
        <x:v>PASS</x:v>
      </x:c>
      <x:c r="K21" s="13" t="str"/>
      <x:c r="L21" s="13" t="str"/>
    </x:row>
    <x:row r="22">
      <x:c r="A22" s="13" t="str">
        <x:v>TC-CHECKOUT-06</x:v>
      </x:c>
      <x:c r="B22" s="13" t="str">
        <x:v>Checkout</x:v>
      </x:c>
      <x:c r="C22" s="13" t="str">
        <x:v>Invalid ZIP format - alphabetic characters</x:v>
      </x:c>
      <x:c r="D22" s="13" t="str">
        <x:v>Negative</x:v>
      </x:c>
      <x:c r="E22" s="13" t="str">
        <x:v>Equivalence Partitioning</x:v>
      </x:c>
      <x:c r="F22" s="13" t="str">
        <x:v>Sauce Labs Backpack is in cart</x:v>
      </x:c>
      <x:c r="G22" s="13" t="str">
        <x:v>ZIP: ABCDE</x:v>
      </x:c>
      <x:c r="H22" s="13" t="str">
        <x:v>Invalid ZIP format should be rejected with a validation message</x:v>
      </x:c>
      <x:c r="I22" s="13" t="str">
        <x:v>ABCDE was accepted; no error shown; user could continue to Overview and Finish</x:v>
      </x:c>
      <x:c r="J22" s="13" t="str">
        <x:v>FAIL</x:v>
      </x:c>
      <x:c r="K22" s="13" t="str">
        <x:v>BUG-001</x:v>
      </x:c>
      <x:c r="L22" s="13" t="str">
        <x:v>BUG-001-ZIP.png</x:v>
      </x:c>
    </x:row>
    <x:row r="23">
      <x:c r="A23" s="13" t="str">
        <x:v>TC-CHECKOUT-07</x:v>
      </x:c>
      <x:c r="B23" s="13" t="str">
        <x:v>Checkout</x:v>
      </x:c>
      <x:c r="C23" s="13" t="str">
        <x:v>ZIP boundary - 1 digit</x:v>
      </x:c>
      <x:c r="D23" s="13" t="str">
        <x:v>Negative</x:v>
      </x:c>
      <x:c r="E23" s="13" t="str">
        <x:v>Boundary Value Analysis</x:v>
      </x:c>
      <x:c r="F23" s="13" t="str">
        <x:v>Sauce Labs Backpack is in cart</x:v>
      </x:c>
      <x:c r="G23" s="13" t="str">
        <x:v>ZIP: 1</x:v>
      </x:c>
      <x:c r="H23" s="13" t="str">
        <x:v>ZIP with invalid length should be rejected</x:v>
      </x:c>
      <x:c r="I23" s="13" t="str">
        <x:v>Continue was allowed</x:v>
      </x:c>
      <x:c r="J23" s="13" t="str">
        <x:v>FAIL</x:v>
      </x:c>
      <x:c r="K23" s="13" t="str">
        <x:v>BUG-001</x:v>
      </x:c>
      <x:c r="L23" s="13" t="str"/>
    </x:row>
    <x:row r="24">
      <x:c r="A24" s="13" t="str">
        <x:v>TC-CHECKOUT-08</x:v>
      </x:c>
      <x:c r="B24" s="13" t="str">
        <x:v>Checkout</x:v>
      </x:c>
      <x:c r="C24" s="13" t="str">
        <x:v>ZIP boundary - 4 digits</x:v>
      </x:c>
      <x:c r="D24" s="13" t="str">
        <x:v>Negative</x:v>
      </x:c>
      <x:c r="E24" s="13" t="str">
        <x:v>Boundary Value Analysis</x:v>
      </x:c>
      <x:c r="F24" s="13" t="str">
        <x:v>Sauce Labs Backpack is in cart</x:v>
      </x:c>
      <x:c r="G24" s="13" t="str">
        <x:v>ZIP: 1234</x:v>
      </x:c>
      <x:c r="H24" s="13" t="str">
        <x:v>ZIP with invalid length should be rejected</x:v>
      </x:c>
      <x:c r="I24" s="13" t="str">
        <x:v>Continue was allowed</x:v>
      </x:c>
      <x:c r="J24" s="13" t="str">
        <x:v>FAIL</x:v>
      </x:c>
      <x:c r="K24" s="13" t="str">
        <x:v>BUG-001</x:v>
      </x:c>
      <x:c r="L24" s="13" t="str"/>
    </x:row>
    <x:row r="25">
      <x:c r="A25" s="13" t="str">
        <x:v>TC-CHECKOUT-09</x:v>
      </x:c>
      <x:c r="B25" s="13" t="str">
        <x:v>Checkout</x:v>
      </x:c>
      <x:c r="C25" s="13" t="str">
        <x:v>ZIP boundary - 5 digits</x:v>
      </x:c>
      <x:c r="D25" s="13" t="str">
        <x:v>Positive</x:v>
      </x:c>
      <x:c r="E25" s="13" t="str">
        <x:v>Boundary Value Analysis</x:v>
      </x:c>
      <x:c r="F25" s="13" t="str">
        <x:v>Sauce Labs Backpack is in cart</x:v>
      </x:c>
      <x:c r="G25" s="13" t="str">
        <x:v>ZIP: 12345</x:v>
      </x:c>
      <x:c r="H25" s="13" t="str">
        <x:v>Valid five-digit ZIP format should be accepted</x:v>
      </x:c>
      <x:c r="I25" s="13" t="str">
        <x:v>Continue was allowed</x:v>
      </x:c>
      <x:c r="J25" s="13" t="str">
        <x:v>PASS</x:v>
      </x:c>
      <x:c r="K25" s="13" t="str"/>
      <x:c r="L25" s="13" t="str"/>
    </x:row>
    <x:row r="26">
      <x:c r="A26" s="13" t="str">
        <x:v>TC-CHECKOUT-10</x:v>
      </x:c>
      <x:c r="B26" s="13" t="str">
        <x:v>Checkout</x:v>
      </x:c>
      <x:c r="C26" s="13" t="str">
        <x:v>ZIP boundary - 6 digits</x:v>
      </x:c>
      <x:c r="D26" s="13" t="str">
        <x:v>Negative</x:v>
      </x:c>
      <x:c r="E26" s="13" t="str">
        <x:v>Boundary Value Analysis</x:v>
      </x:c>
      <x:c r="F26" s="13" t="str">
        <x:v>Sauce Labs Backpack is in cart</x:v>
      </x:c>
      <x:c r="G26" s="13" t="str">
        <x:v>ZIP: 123456</x:v>
      </x:c>
      <x:c r="H26" s="13" t="str">
        <x:v>ZIP with invalid length should be rejected</x:v>
      </x:c>
      <x:c r="I26" s="13" t="str">
        <x:v>Continue was allowed</x:v>
      </x:c>
      <x:c r="J26" s="13" t="str">
        <x:v>FAIL</x:v>
      </x:c>
      <x:c r="K26" s="13" t="str">
        <x:v>BUG-001</x:v>
      </x:c>
      <x:c r="L26" s="13" t="str"/>
    </x:row>
    <x:row r="27">
      <x:c r="A27" s="13" t="str">
        <x:v>TC-CHECKOUT-11</x:v>
      </x:c>
      <x:c r="B27" s="13" t="str">
        <x:v>Checkout</x:v>
      </x:c>
      <x:c r="C27" s="13" t="str">
        <x:v>Special characters in name fields</x:v>
      </x:c>
      <x:c r="D27" s="13" t="str">
        <x:v>Negative</x:v>
      </x:c>
      <x:c r="E27" s="13" t="str">
        <x:v>Equivalence Partitioning</x:v>
      </x:c>
      <x:c r="F27" s="13" t="str">
        <x:v>Sauce Labs Backpack is in cart</x:v>
      </x:c>
      <x:c r="G27" s="13" t="str">
        <x:v>First: @@@ / Last: ### / ZIP: 12345</x:v>
      </x:c>
      <x:c r="H27" s="13" t="str">
        <x:v>Clearly invalid name input should be rejected if name format validation is required</x:v>
      </x:c>
      <x:c r="I27" s="13" t="str">
        <x:v>Input was accepted; no error shown; user could reach Checkout: Overview</x:v>
      </x:c>
      <x:c r="J27" s="13" t="str">
        <x:v>OBSERVATION</x:v>
      </x:c>
      <x:c r="K27" s="13" t="str"/>
      <x:c r="L27" s="13" t="str"/>
    </x:row>
    <x:row r="28">
      <x:c r="A28" s="13" t="str">
        <x:v>TC-CHECKOUT-12</x:v>
      </x:c>
      <x:c r="B28" s="13" t="str">
        <x:v>Checkout</x:v>
      </x:c>
      <x:c r="C28" s="13" t="str">
        <x:v>Checkout with empty cart</x:v>
      </x:c>
      <x:c r="D28" s="13" t="str">
        <x:v>Negative</x:v>
      </x:c>
      <x:c r="E28" s="13" t="str">
        <x:v>Business Rule / Negative Testing</x:v>
      </x:c>
      <x:c r="F28" s="13" t="str">
        <x:v>Cart contains no products</x:v>
      </x:c>
      <x:c r="G28" s="13" t="str">
        <x:v>First: Yahoska / Last: Conrado / ZIP: 12345</x:v>
      </x:c>
      <x:c r="H28" s="13" t="str">
        <x:v>User should not be able to complete an order with no products</x:v>
      </x:c>
      <x:c r="I28" s="13" t="str">
        <x:v>Overview showed no products; Item total $0.00, Tax $0.00, Total $0.00; Finish was enabled and order completed</x:v>
      </x:c>
      <x:c r="J28" s="13" t="str">
        <x:v>FAIL</x:v>
      </x:c>
      <x:c r="K28" s="13" t="str">
        <x:v>BUG-002</x:v>
      </x:c>
      <x:c r="L28" s="13" t="str">
        <x:v>BUG-002-Empty-Cart.png</x:v>
      </x:c>
    </x:row>
    <x:row r="29">
      <x:c r="A29" s="13" t="str">
        <x:v>TC-NAV-01</x:v>
      </x:c>
      <x:c r="B29" s="13" t="str">
        <x:v>Navigation</x:v>
      </x:c>
      <x:c r="C29" s="13" t="str">
        <x:v>About external link</x:v>
      </x:c>
      <x:c r="D29" s="13" t="str">
        <x:v>Positive</x:v>
      </x:c>
      <x:c r="E29" s="13" t="str">
        <x:v>Functional</x:v>
      </x:c>
      <x:c r="F29" s="13" t="str">
        <x:v>User is in SauceDemo menu</x:v>
      </x:c>
      <x:c r="G29" s="13" t="str">
        <x:v>About</x:v>
      </x:c>
      <x:c r="H29" s="13" t="str">
        <x:v>About link opens the intended external Sauce Labs site</x:v>
      </x:c>
      <x:c r="I29" s="13" t="str">
        <x:v>Redirected to https://saucelabs.com/; browser Back returned to SauceDemo</x:v>
      </x:c>
      <x:c r="J29" s="13" t="str">
        <x:v>PASS</x:v>
      </x:c>
      <x:c r="K29" s="13" t="str"/>
      <x:c r="L29" s="13" t="str"/>
    </x:row>
  </x:sheetData>
  <x:conditionalFormatting sqref="J2:J29">
    <x:cfRule type="expression" dxfId="0" priority="1">
      <x:formula>J2="PASS"</x:formula>
    </x:cfRule>
    <x:cfRule type="expression" dxfId="1" priority="2">
      <x:formula>J2="FAIL"</x:formula>
    </x:cfRule>
    <x:cfRule type="expression" dxfId="2" priority="3">
      <x:formula>J2="OBSERVATION"</x:formula>
    </x:cfRule>
  </x:conditionalFormatting>
  <x:dataValidations count="1">
    <x:dataValidation type="list" sqref="J2:J29">
      <x:formula1>"PASS,FAIL,BLOCKED,OBSERVATION"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f8b42ae724444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4" hidden="0" customWidth="1"/>
    <x:col min="4" max="4" width="18" hidden="0" customWidth="1"/>
    <x:col min="5" max="5" width="48" hidden="0" customWidth="1"/>
    <x:col min="6" max="6" width="12" hidden="0" customWidth="1"/>
  </x:cols>
  <x:sheetData>
    <x:row r="1">
      <x:c r="A1" s="43" t="str">
        <x:v>SauceDemo QA Testing — Test Execution Summary</x:v>
      </x:c>
      <x:c r="B1" s="43"/>
      <x:c r="C1" s="43"/>
      <x:c r="D1" s="43"/>
      <x:c r="E1" s="43"/>
      <x:c r="F1" s="43"/>
    </x:row>
    <x:row r="2">
      <x:c r="A2" s="44"/>
      <x:c r="B2" s="44"/>
      <x:c r="C2" s="44"/>
      <x:c r="D2" s="44"/>
      <x:c r="E2" s="44"/>
      <x:c r="F2" s="44"/>
    </x:row>
    <x:row r="3">
      <x:c r="A3" s="45" t="str">
        <x:v>Metric</x:v>
      </x:c>
      <x:c r="B3" s="45" t="str">
        <x:v>Value</x:v>
      </x:c>
      <x:c r="C3" s="44"/>
      <x:c r="D3" s="46" t="str">
        <x:v>Bug ID</x:v>
      </x:c>
      <x:c r="E3" s="46" t="str">
        <x:v>Description</x:v>
      </x:c>
      <x:c r="F3" s="44"/>
    </x:row>
    <x:row r="4">
      <x:c r="A4" s="47" t="str">
        <x:v>Total Test Cases</x:v>
      </x:c>
      <x:c r="B4" s="44" t="n">
        <x:f>COUNTA('Test Cases'!A2:A29)</x:f>
        <x:v>28</x:v>
      </x:c>
      <x:c r="C4" s="44"/>
      <x:c r="D4" s="13" t="str">
        <x:v>BUG-001</x:v>
      </x:c>
      <x:c r="E4" s="13" t="str">
        <x:v>Invalid ZIP Code formats accepted</x:v>
      </x:c>
      <x:c r="F4" s="44"/>
    </x:row>
    <x:row r="5">
      <x:c r="A5" s="47" t="str">
        <x:v>PASS</x:v>
      </x:c>
      <x:c r="B5" s="44" t="n">
        <x:f>COUNTIF('Test Cases'!J2:J29,"PASS")</x:f>
        <x:v>21</x:v>
      </x:c>
      <x:c r="C5" s="44"/>
      <x:c r="D5" s="13" t="str">
        <x:v>BUG-002</x:v>
      </x:c>
      <x:c r="E5" s="13" t="str">
        <x:v>Order can be completed with empty cart</x:v>
      </x:c>
      <x:c r="F5" s="44"/>
    </x:row>
    <x:row r="6">
      <x:c r="A6" s="47" t="str">
        <x:v>FAIL</x:v>
      </x:c>
      <x:c r="B6" s="44" t="n">
        <x:f>COUNTIF('Test Cases'!J2:J29,"FAIL")</x:f>
        <x:v>5</x:v>
      </x:c>
      <x:c r="C6" s="44"/>
      <x:c r="D6" s="13" t="str"/>
      <x:c r="E6" s="13" t="str"/>
      <x:c r="F6" s="44"/>
    </x:row>
    <x:row r="7">
      <x:c r="A7" s="47" t="str">
        <x:v>OBSERVATION</x:v>
      </x:c>
      <x:c r="B7" s="44" t="n">
        <x:f>COUNTIF('Test Cases'!J2:J29,"OBSERVATION")</x:f>
        <x:v>2</x:v>
      </x:c>
      <x:c r="C7" s="44"/>
      <x:c r="D7" s="44"/>
      <x:c r="E7" s="44"/>
      <x:c r="F7" s="44"/>
    </x:row>
    <x:row r="8">
      <x:c r="A8" s="47" t="str">
        <x:v>Confirmed Bugs</x:v>
      </x:c>
      <x:c r="B8" s="44" t="n">
        <x:f>COUNTA(D4:D5)</x:f>
        <x:v>2</x:v>
      </x:c>
      <x:c r="C8" s="44"/>
      <x:c r="D8" s="48" t="str">
        <x:v>Testing Approach</x:v>
      </x:c>
      <x:c r="E8" s="44" t="str"/>
      <x:c r="F8" s="44" t="str"/>
    </x:row>
    <x:row r="9">
      <x:c r="A9" s="44"/>
      <x:c r="B9" s="44"/>
      <x:c r="C9" s="44"/>
      <x:c r="D9" s="44" t="str">
        <x:v>Manual Functional Testing</x:v>
      </x:c>
      <x:c r="E9" s="44" t="str"/>
      <x:c r="F9" s="44" t="str"/>
    </x:row>
    <x:row r="10">
      <x:c r="A10" s="44"/>
      <x:c r="B10" s="44"/>
      <x:c r="C10" s="44"/>
      <x:c r="D10" s="44" t="str">
        <x:v>Techniques</x:v>
      </x:c>
      <x:c r="E10" s="44" t="str">
        <x:v>Exploratory; Positive; Negative; Boundary Value Analysis; Equivalence Partitioning</x:v>
      </x:c>
      <x:c r="F10" s="44" t="str"/>
    </x:row>
    <x:row r="11">
      <x:c r="A11" s="49" t="str">
        <x:v>Environment</x:v>
      </x:c>
      <x:c r="B11" s="44" t="str"/>
      <x:c r="C11" s="44" t="str"/>
      <x:c r="D11" s="44" t="str">
        <x:v>Scope</x:v>
      </x:c>
      <x:c r="E11" s="44" t="str">
        <x:v>Login, products, cart, checkout, order completion, basic navigation</x:v>
      </x:c>
      <x:c r="F11" s="44" t="str"/>
    </x:row>
    <x:row r="12">
      <x:c r="A12" s="13" t="str">
        <x:v>Application</x:v>
      </x:c>
      <x:c r="B12" s="13" t="str">
        <x:v>SauceDemo</x:v>
      </x:c>
      <x:c r="C12" s="44" t="str"/>
      <x:c r="D12" s="44" t="str">
        <x:v>Source</x:v>
      </x:c>
      <x:c r="E12" s="44" t="str">
        <x:v>https://www.saucedemo.com/</x:v>
      </x:c>
      <x:c r="F12" s="44" t="str"/>
    </x:row>
    <x:row r="13">
      <x:c r="A13" s="13" t="str">
        <x:v>Browser</x:v>
      </x:c>
      <x:c r="B13" s="13" t="str">
        <x:v>Google Chrome</x:v>
      </x:c>
      <x:c r="C13" s="44" t="str"/>
      <x:c r="D13" s="44" t="str"/>
      <x:c r="E13" s="44" t="str"/>
      <x:c r="F13" s="44" t="str"/>
    </x:row>
    <x:row r="14">
      <x:c r="A14" s="13" t="str">
        <x:v>Device</x:v>
      </x:c>
      <x:c r="B14" s="13" t="str">
        <x:v>Laptop</x:v>
      </x:c>
      <x:c r="C14" s="44" t="str"/>
      <x:c r="D14" s="44" t="str"/>
      <x:c r="E14" s="44" t="str"/>
      <x:c r="F14" s="44" t="str"/>
    </x:row>
    <x:row r="15">
      <x:c r="A15" s="13" t="str">
        <x:v>OS</x:v>
      </x:c>
      <x:c r="B15" s="13" t="str">
        <x:v>Windows</x:v>
      </x:c>
      <x:c r="C15" s="44" t="str"/>
      <x:c r="D15" s="44" t="str"/>
      <x:c r="E15" s="44" t="str"/>
      <x:c r="F15" s="44" t="str"/>
    </x:row>
  </x:sheetData>
  <x:mergeCells>
    <x:mergeCell ref="A1:F1"/>
    <x:mergeCell ref="A11:F11"/>
    <x:mergeCell ref="D8:F8"/>
  </x:mergeCells>
  <x:pageMargins left="0.7" right="0.7" top="0.75" bottom="0.75" header="0.3" footer="0.3"/>
  <x:drawing xmlns:r="http://schemas.openxmlformats.org/officeDocument/2006/relationships" r:id="R7ca8dc90775042c4"/>
</x:worksheet>
</file>